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oled (main text)" sheetId="1" r:id="rId1"/>
    <sheet name="By test (supplement)" sheetId="2" r:id="rId2"/>
  </sheets>
  <calcPr calcId="124519" fullCalcOnLoad="1"/>
</workbook>
</file>

<file path=xl/sharedStrings.xml><?xml version="1.0" encoding="utf-8"?>
<sst xmlns="http://schemas.openxmlformats.org/spreadsheetml/2006/main" count="388" uniqueCount="86">
  <si>
    <t>Group</t>
  </si>
  <si>
    <t>Parameter</t>
  </si>
  <si>
    <t>Unit</t>
  </si>
  <si>
    <t>Held-out</t>
  </si>
  <si>
    <t>Reference</t>
  </si>
  <si>
    <t>EVAE</t>
  </si>
  <si>
    <t>ADFNE</t>
  </si>
  <si>
    <t>KDE</t>
  </si>
  <si>
    <t>Reference (fracture-removed)</t>
  </si>
  <si>
    <t>closest</t>
  </si>
  <si>
    <t>EVAE vs ADFNE/KDE, gap-filling</t>
  </si>
  <si>
    <t>EVAE vs ADFNE/KDE, new-bench</t>
  </si>
  <si>
    <t>EVAE vs ADFNE/KDE, new-stretch</t>
  </si>
  <si>
    <t>Trace direction</t>
  </si>
  <si>
    <t>Length</t>
  </si>
  <si>
    <t>Intensity and spacing</t>
  </si>
  <si>
    <t>Connectivity and termination</t>
  </si>
  <si>
    <t>Engineering inputs</t>
  </si>
  <si>
    <t>Cluster C1 (~125°): share</t>
  </si>
  <si>
    <t>Cluster C2 (~56°): share</t>
  </si>
  <si>
    <t>Cluster C3 (~27°): share</t>
  </si>
  <si>
    <t>Cluster C4 (~89°): share</t>
  </si>
  <si>
    <t>Cluster C1: direction</t>
  </si>
  <si>
    <t>Cluster C2: direction</t>
  </si>
  <si>
    <t>Cluster C1: spread</t>
  </si>
  <si>
    <t>Cluster C2: spread</t>
  </si>
  <si>
    <t>Median trace length</t>
  </si>
  <si>
    <t>90th-percentile trace length</t>
  </si>
  <si>
    <t>Trace density (P20)</t>
  </si>
  <si>
    <t>Trace intensity (P21)</t>
  </si>
  <si>
    <t>Spacing to the nearest trace</t>
  </si>
  <si>
    <t>Intersections</t>
  </si>
  <si>
    <t>Connections per trace</t>
  </si>
  <si>
    <t>T-end share (ends stopping on another trace)</t>
  </si>
  <si>
    <t>Crossing share of nodes</t>
  </si>
  <si>
    <t>Percolation parameter p (threshold about 5.6)</t>
  </si>
  <si>
    <t>Panels with a spanning cluster</t>
  </si>
  <si>
    <t>Largest connected cluster</t>
  </si>
  <si>
    <t>Equivalent modulus along the bench, E/E0</t>
  </si>
  <si>
    <t>Equivalent modulus down the face, E/E0</t>
  </si>
  <si>
    <t>Deformability anisotropy index</t>
  </si>
  <si>
    <t>Softest loading direction (from the bench axis)</t>
  </si>
  <si>
    <t>Mean persistence, C1</t>
  </si>
  <si>
    <t>Mean persistence, C2</t>
  </si>
  <si>
    <t>Maximum persistence, C1</t>
  </si>
  <si>
    <t>Maximum persistence, C2</t>
  </si>
  <si>
    <t>%</t>
  </si>
  <si>
    <t>°</t>
  </si>
  <si>
    <t>m</t>
  </si>
  <si>
    <t>per 100 m²</t>
  </si>
  <si>
    <t>m/m²</t>
  </si>
  <si>
    <t>-</t>
  </si>
  <si>
    <t>share</t>
  </si>
  <si>
    <t>share of length</t>
  </si>
  <si>
    <t>ADFNE, KDE</t>
  </si>
  <si>
    <t>EVAE, ADFNE</t>
  </si>
  <si>
    <t>−/=</t>
  </si>
  <si>
    <t>−/−</t>
  </si>
  <si>
    <t>+/+</t>
  </si>
  <si>
    <t>+/=</t>
  </si>
  <si>
    <t>gap-filling: Held-out</t>
  </si>
  <si>
    <t>gap-filling: Reference</t>
  </si>
  <si>
    <t>gap-filling: EVAE</t>
  </si>
  <si>
    <t>gap-filling: ADFNE</t>
  </si>
  <si>
    <t>gap-filling: KDE</t>
  </si>
  <si>
    <t>gap-filling: Reference (fracture-removed)</t>
  </si>
  <si>
    <t>gap-filling: closest</t>
  </si>
  <si>
    <t>gap-filling: EVAE vs ADFNE/KDE</t>
  </si>
  <si>
    <t>new-bench: Held-out</t>
  </si>
  <si>
    <t>new-bench: Reference</t>
  </si>
  <si>
    <t>new-bench: EVAE</t>
  </si>
  <si>
    <t>new-bench: ADFNE</t>
  </si>
  <si>
    <t>new-bench: KDE</t>
  </si>
  <si>
    <t>new-bench: Reference (fracture-removed)</t>
  </si>
  <si>
    <t>new-bench: closest</t>
  </si>
  <si>
    <t>new-bench: EVAE vs ADFNE/KDE</t>
  </si>
  <si>
    <t>new-stretch: Held-out</t>
  </si>
  <si>
    <t>new-stretch: Reference</t>
  </si>
  <si>
    <t>new-stretch: EVAE</t>
  </si>
  <si>
    <t>new-stretch: ADFNE</t>
  </si>
  <si>
    <t>new-stretch: KDE</t>
  </si>
  <si>
    <t>new-stretch: Reference (fracture-removed)</t>
  </si>
  <si>
    <t>new-stretch: closest</t>
  </si>
  <si>
    <t>new-stretch: EVAE vs ADFNE/KDE</t>
  </si>
  <si>
    <t>EVAE, ADFNE, KDE</t>
  </si>
  <si>
    <t>EVAE, KDE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</si>
</sst>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46</v>
      </c>
      <c r="D2">
        <v>35</v>
      </c>
      <c r="E2">
        <v>36</v>
      </c>
      <c r="F2">
        <v>35</v>
      </c>
      <c r="G2">
        <v>36</v>
      </c>
      <c r="H2">
        <v>34</v>
      </c>
      <c r="I2">
        <v>36</v>
      </c>
      <c r="J2" t="s">
        <v>5</v>
      </c>
      <c r="K2">
        <f>/=</f>
        <v>0</v>
      </c>
      <c r="L2">
        <f>/=</f>
        <v>0</v>
      </c>
      <c r="M2">
        <f>/=</f>
        <v>0</v>
      </c>
    </row>
    <row r="3" spans="1:13">
      <c r="A3" t="s">
        <v>13</v>
      </c>
      <c r="B3" t="s">
        <v>19</v>
      </c>
      <c r="C3" t="s">
        <v>46</v>
      </c>
      <c r="D3">
        <v>32</v>
      </c>
      <c r="E3">
        <v>30</v>
      </c>
      <c r="F3">
        <v>28</v>
      </c>
      <c r="G3">
        <v>33</v>
      </c>
      <c r="H3">
        <v>31</v>
      </c>
      <c r="I3">
        <v>29</v>
      </c>
      <c r="J3" t="s">
        <v>54</v>
      </c>
      <c r="K3" t="s">
        <v>56</v>
      </c>
      <c r="L3">
        <f>/=</f>
        <v>0</v>
      </c>
      <c r="M3">
        <f>/=</f>
        <v>0</v>
      </c>
    </row>
    <row r="4" spans="1:13">
      <c r="A4" t="s">
        <v>13</v>
      </c>
      <c r="B4" t="s">
        <v>20</v>
      </c>
      <c r="C4" t="s">
        <v>46</v>
      </c>
      <c r="D4">
        <v>18</v>
      </c>
      <c r="E4">
        <v>20</v>
      </c>
      <c r="F4">
        <v>19</v>
      </c>
      <c r="G4">
        <v>17</v>
      </c>
      <c r="H4">
        <v>20</v>
      </c>
      <c r="I4">
        <v>20</v>
      </c>
      <c r="J4" t="s">
        <v>55</v>
      </c>
      <c r="K4">
        <f>/=</f>
        <v>0</v>
      </c>
      <c r="L4">
        <f>/=</f>
        <v>0</v>
      </c>
      <c r="M4">
        <f>/+</f>
        <v>0</v>
      </c>
    </row>
    <row r="5" spans="1:13">
      <c r="A5" t="s">
        <v>13</v>
      </c>
      <c r="B5" t="s">
        <v>21</v>
      </c>
      <c r="C5" t="s">
        <v>46</v>
      </c>
      <c r="D5">
        <v>10</v>
      </c>
      <c r="E5">
        <v>11</v>
      </c>
      <c r="F5">
        <v>12</v>
      </c>
      <c r="G5">
        <v>9</v>
      </c>
      <c r="H5">
        <v>11</v>
      </c>
      <c r="I5">
        <v>11</v>
      </c>
      <c r="J5" t="s">
        <v>54</v>
      </c>
      <c r="K5">
        <f>/=</f>
        <v>0</v>
      </c>
      <c r="L5">
        <f>/=</f>
        <v>0</v>
      </c>
      <c r="M5">
        <f>/=</f>
        <v>0</v>
      </c>
    </row>
    <row r="6" spans="1:13">
      <c r="A6" t="s">
        <v>13</v>
      </c>
      <c r="B6" t="s">
        <v>22</v>
      </c>
      <c r="C6" t="s">
        <v>47</v>
      </c>
      <c r="D6">
        <v>124</v>
      </c>
      <c r="E6">
        <v>124</v>
      </c>
      <c r="F6">
        <v>125</v>
      </c>
      <c r="G6">
        <v>124</v>
      </c>
      <c r="H6">
        <v>125</v>
      </c>
      <c r="I6">
        <v>124</v>
      </c>
      <c r="J6" t="s">
        <v>6</v>
      </c>
      <c r="K6">
        <f>/=</f>
        <v>0</v>
      </c>
      <c r="L6">
        <f>/=</f>
        <v>0</v>
      </c>
      <c r="M6">
        <f>/=</f>
        <v>0</v>
      </c>
    </row>
    <row r="7" spans="1:13">
      <c r="A7" t="s">
        <v>13</v>
      </c>
      <c r="B7" t="s">
        <v>23</v>
      </c>
      <c r="C7" t="s">
        <v>47</v>
      </c>
      <c r="D7">
        <v>56</v>
      </c>
      <c r="E7">
        <v>57</v>
      </c>
      <c r="F7">
        <v>56</v>
      </c>
      <c r="G7">
        <v>56</v>
      </c>
      <c r="H7">
        <v>57</v>
      </c>
      <c r="I7">
        <v>57</v>
      </c>
      <c r="J7" t="s">
        <v>55</v>
      </c>
      <c r="K7">
        <f>/=</f>
        <v>0</v>
      </c>
      <c r="L7">
        <f>/=</f>
        <v>0</v>
      </c>
      <c r="M7">
        <f>/=</f>
        <v>0</v>
      </c>
    </row>
    <row r="8" spans="1:13">
      <c r="A8" t="s">
        <v>13</v>
      </c>
      <c r="B8" t="s">
        <v>24</v>
      </c>
      <c r="C8" t="s">
        <v>47</v>
      </c>
      <c r="D8">
        <v>10.8</v>
      </c>
      <c r="E8">
        <v>10.9</v>
      </c>
      <c r="F8">
        <v>12</v>
      </c>
      <c r="G8">
        <v>11.2</v>
      </c>
      <c r="H8">
        <v>10.9</v>
      </c>
      <c r="I8">
        <v>11</v>
      </c>
      <c r="J8" t="s">
        <v>7</v>
      </c>
      <c r="K8" t="s">
        <v>57</v>
      </c>
      <c r="L8">
        <f>/=</f>
        <v>0</v>
      </c>
      <c r="M8">
        <f>/=</f>
        <v>0</v>
      </c>
    </row>
    <row r="9" spans="1:13">
      <c r="A9" t="s">
        <v>13</v>
      </c>
      <c r="B9" t="s">
        <v>25</v>
      </c>
      <c r="C9" t="s">
        <v>47</v>
      </c>
      <c r="D9">
        <v>9.9</v>
      </c>
      <c r="E9">
        <v>9.6</v>
      </c>
      <c r="F9">
        <v>10.4</v>
      </c>
      <c r="G9">
        <v>10.2</v>
      </c>
      <c r="H9">
        <v>9.699999999999999</v>
      </c>
      <c r="I9">
        <v>9.5</v>
      </c>
      <c r="J9" t="s">
        <v>7</v>
      </c>
      <c r="K9">
        <f>/=</f>
        <v>0</v>
      </c>
      <c r="L9" t="s">
        <v>57</v>
      </c>
      <c r="M9" t="s">
        <v>56</v>
      </c>
    </row>
    <row r="10" spans="1:13">
      <c r="A10" t="s">
        <v>14</v>
      </c>
      <c r="B10" t="s">
        <v>26</v>
      </c>
      <c r="C10" t="s">
        <v>48</v>
      </c>
      <c r="D10">
        <v>5.7</v>
      </c>
      <c r="E10">
        <v>5.9</v>
      </c>
      <c r="F10">
        <v>5.4</v>
      </c>
      <c r="G10">
        <v>4.6</v>
      </c>
      <c r="H10">
        <v>5.2</v>
      </c>
      <c r="I10">
        <v>5.9</v>
      </c>
      <c r="J10" t="s">
        <v>5</v>
      </c>
      <c r="K10" t="s">
        <v>58</v>
      </c>
      <c r="L10" t="s">
        <v>58</v>
      </c>
      <c r="M10" t="s">
        <v>59</v>
      </c>
    </row>
    <row r="11" spans="1:13">
      <c r="A11" t="s">
        <v>14</v>
      </c>
      <c r="B11" t="s">
        <v>27</v>
      </c>
      <c r="C11" t="s">
        <v>48</v>
      </c>
      <c r="D11">
        <v>12.4</v>
      </c>
      <c r="E11">
        <v>12.7</v>
      </c>
      <c r="F11">
        <v>11.8</v>
      </c>
      <c r="G11">
        <v>11.2</v>
      </c>
      <c r="H11">
        <v>10.3</v>
      </c>
      <c r="I11">
        <v>12.8</v>
      </c>
      <c r="J11" t="s">
        <v>5</v>
      </c>
      <c r="K11" t="s">
        <v>58</v>
      </c>
      <c r="L11" t="s">
        <v>58</v>
      </c>
      <c r="M11">
        <f>/+</f>
        <v>0</v>
      </c>
    </row>
    <row r="12" spans="1:13">
      <c r="A12" t="s">
        <v>15</v>
      </c>
      <c r="B12" t="s">
        <v>28</v>
      </c>
      <c r="C12" t="s">
        <v>49</v>
      </c>
      <c r="D12">
        <v>3.93</v>
      </c>
      <c r="E12">
        <v>3.56</v>
      </c>
      <c r="F12">
        <v>3.5</v>
      </c>
      <c r="G12">
        <v>3.75</v>
      </c>
      <c r="H12">
        <v>3.75</v>
      </c>
      <c r="I12">
        <v>3.52</v>
      </c>
      <c r="J12" t="s">
        <v>54</v>
      </c>
      <c r="K12">
        <f>/=</f>
        <v>0</v>
      </c>
      <c r="L12">
        <f>/=</f>
        <v>0</v>
      </c>
      <c r="M12">
        <f>/=</f>
        <v>0</v>
      </c>
    </row>
    <row r="13" spans="1:13">
      <c r="A13" t="s">
        <v>15</v>
      </c>
      <c r="B13" t="s">
        <v>29</v>
      </c>
      <c r="C13" t="s">
        <v>50</v>
      </c>
      <c r="D13">
        <v>0.265</v>
      </c>
      <c r="E13">
        <v>0.257</v>
      </c>
      <c r="F13">
        <v>0.216</v>
      </c>
      <c r="G13">
        <v>0.205</v>
      </c>
      <c r="H13">
        <v>0.214</v>
      </c>
      <c r="I13">
        <v>0.246</v>
      </c>
      <c r="J13" t="s">
        <v>5</v>
      </c>
      <c r="K13" t="s">
        <v>58</v>
      </c>
      <c r="L13" t="s">
        <v>58</v>
      </c>
      <c r="M13">
        <f>/=</f>
        <v>0</v>
      </c>
    </row>
    <row r="14" spans="1:13">
      <c r="A14" t="s">
        <v>15</v>
      </c>
      <c r="B14" t="s">
        <v>30</v>
      </c>
      <c r="C14" t="s">
        <v>48</v>
      </c>
      <c r="D14">
        <v>3</v>
      </c>
      <c r="E14">
        <v>3.1</v>
      </c>
      <c r="F14">
        <v>4.1</v>
      </c>
      <c r="G14">
        <v>2.5</v>
      </c>
      <c r="H14">
        <v>2.4</v>
      </c>
      <c r="I14">
        <v>3.2</v>
      </c>
      <c r="J14" t="s">
        <v>6</v>
      </c>
      <c r="K14">
        <f>/=</f>
        <v>0</v>
      </c>
      <c r="L14">
        <f>/=</f>
        <v>0</v>
      </c>
      <c r="M14">
        <f>/=</f>
        <v>0</v>
      </c>
    </row>
    <row r="15" spans="1:13">
      <c r="A15" t="s">
        <v>16</v>
      </c>
      <c r="B15" t="s">
        <v>31</v>
      </c>
      <c r="C15" t="s">
        <v>49</v>
      </c>
      <c r="D15">
        <v>0.5</v>
      </c>
      <c r="E15">
        <v>0.38</v>
      </c>
      <c r="F15">
        <v>0.75</v>
      </c>
      <c r="G15">
        <v>1.14</v>
      </c>
      <c r="H15">
        <v>1.38</v>
      </c>
      <c r="I15">
        <v>0.29</v>
      </c>
      <c r="J15" t="s">
        <v>5</v>
      </c>
      <c r="K15" t="s">
        <v>58</v>
      </c>
      <c r="L15" t="s">
        <v>58</v>
      </c>
      <c r="M15" t="s">
        <v>58</v>
      </c>
    </row>
    <row r="16" spans="1:13">
      <c r="A16" t="s">
        <v>16</v>
      </c>
      <c r="B16" t="s">
        <v>32</v>
      </c>
      <c r="C16" t="s">
        <v>51</v>
      </c>
      <c r="D16">
        <v>0.73</v>
      </c>
      <c r="E16">
        <v>0.61</v>
      </c>
      <c r="F16">
        <v>0.9399999999999999</v>
      </c>
      <c r="G16">
        <v>1.29</v>
      </c>
      <c r="H16">
        <v>1.43</v>
      </c>
      <c r="I16">
        <v>0.6</v>
      </c>
      <c r="J16" t="s">
        <v>5</v>
      </c>
      <c r="K16" t="s">
        <v>58</v>
      </c>
      <c r="L16" t="s">
        <v>58</v>
      </c>
      <c r="M16" t="s">
        <v>58</v>
      </c>
    </row>
    <row r="17" spans="1:13">
      <c r="A17" t="s">
        <v>16</v>
      </c>
      <c r="B17" t="s">
        <v>33</v>
      </c>
      <c r="C17" t="s">
        <v>51</v>
      </c>
      <c r="D17">
        <v>0.09</v>
      </c>
      <c r="E17">
        <v>0.08</v>
      </c>
      <c r="F17">
        <v>0.09</v>
      </c>
      <c r="G17">
        <v>0.12</v>
      </c>
      <c r="H17">
        <v>0.12</v>
      </c>
      <c r="I17">
        <v>0.08</v>
      </c>
      <c r="J17" t="s">
        <v>5</v>
      </c>
      <c r="K17">
        <f>/=</f>
        <v>0</v>
      </c>
      <c r="L17">
        <f>/=</f>
        <v>0</v>
      </c>
      <c r="M17">
        <f>/=</f>
        <v>0</v>
      </c>
    </row>
    <row r="18" spans="1:13">
      <c r="A18" t="s">
        <v>16</v>
      </c>
      <c r="B18" t="s">
        <v>34</v>
      </c>
      <c r="C18" t="s">
        <v>51</v>
      </c>
      <c r="D18">
        <v>0.07000000000000001</v>
      </c>
      <c r="E18">
        <v>0.07000000000000001</v>
      </c>
      <c r="F18">
        <v>0.12</v>
      </c>
      <c r="G18">
        <v>0.17</v>
      </c>
      <c r="H18">
        <v>0.19</v>
      </c>
      <c r="I18">
        <v>0.07000000000000001</v>
      </c>
      <c r="J18" t="s">
        <v>5</v>
      </c>
      <c r="K18" t="s">
        <v>58</v>
      </c>
      <c r="L18" t="s">
        <v>58</v>
      </c>
      <c r="M18" t="s">
        <v>58</v>
      </c>
    </row>
    <row r="19" spans="1:13">
      <c r="A19" t="s">
        <v>16</v>
      </c>
      <c r="B19" t="s">
        <v>35</v>
      </c>
      <c r="C19" t="s">
        <v>51</v>
      </c>
      <c r="D19">
        <v>2.47</v>
      </c>
      <c r="E19">
        <v>2.52</v>
      </c>
      <c r="F19">
        <v>1.96</v>
      </c>
      <c r="G19">
        <v>1.63</v>
      </c>
      <c r="H19">
        <v>1.63</v>
      </c>
      <c r="I19">
        <v>2.42</v>
      </c>
      <c r="J19" t="s">
        <v>5</v>
      </c>
      <c r="K19" t="s">
        <v>58</v>
      </c>
      <c r="L19" t="s">
        <v>58</v>
      </c>
      <c r="M19" t="s">
        <v>58</v>
      </c>
    </row>
    <row r="20" spans="1:13">
      <c r="A20" t="s">
        <v>16</v>
      </c>
      <c r="B20" t="s">
        <v>36</v>
      </c>
      <c r="C20" t="s">
        <v>52</v>
      </c>
      <c r="D20">
        <v>0.28</v>
      </c>
      <c r="E20">
        <v>0.31</v>
      </c>
      <c r="F20">
        <v>0.06</v>
      </c>
      <c r="G20">
        <v>0.12</v>
      </c>
      <c r="H20">
        <v>0.1</v>
      </c>
      <c r="I20">
        <v>0.3</v>
      </c>
      <c r="J20" t="s">
        <v>6</v>
      </c>
      <c r="K20">
        <f>/=</f>
        <v>0</v>
      </c>
      <c r="L20" t="s">
        <v>58</v>
      </c>
      <c r="M20">
        <f>/=</f>
        <v>0</v>
      </c>
    </row>
    <row r="21" spans="1:13">
      <c r="A21" t="s">
        <v>16</v>
      </c>
      <c r="B21" t="s">
        <v>37</v>
      </c>
      <c r="C21" t="s">
        <v>53</v>
      </c>
      <c r="D21">
        <v>0.28</v>
      </c>
      <c r="E21">
        <v>0.26</v>
      </c>
      <c r="F21">
        <v>0.4</v>
      </c>
      <c r="G21">
        <v>0.43</v>
      </c>
      <c r="H21">
        <v>0.41</v>
      </c>
      <c r="I21">
        <v>0.26</v>
      </c>
      <c r="J21" t="s">
        <v>5</v>
      </c>
      <c r="K21" t="s">
        <v>58</v>
      </c>
      <c r="L21">
        <f>/=</f>
        <v>0</v>
      </c>
      <c r="M21" t="s">
        <v>59</v>
      </c>
    </row>
    <row r="22" spans="1:13">
      <c r="A22" t="s">
        <v>17</v>
      </c>
      <c r="B22" t="s">
        <v>38</v>
      </c>
      <c r="C22" t="s">
        <v>51</v>
      </c>
      <c r="D22">
        <v>0.29</v>
      </c>
      <c r="E22">
        <v>0.28</v>
      </c>
      <c r="F22">
        <v>0.35</v>
      </c>
      <c r="G22">
        <v>0.39</v>
      </c>
      <c r="H22">
        <v>0.4</v>
      </c>
      <c r="I22">
        <v>0.29</v>
      </c>
      <c r="J22" t="s">
        <v>5</v>
      </c>
      <c r="K22" t="s">
        <v>58</v>
      </c>
      <c r="L22" t="s">
        <v>58</v>
      </c>
      <c r="M22" t="s">
        <v>58</v>
      </c>
    </row>
    <row r="23" spans="1:13">
      <c r="A23" t="s">
        <v>17</v>
      </c>
      <c r="B23" t="s">
        <v>39</v>
      </c>
      <c r="C23" t="s">
        <v>51</v>
      </c>
      <c r="D23">
        <v>0.41</v>
      </c>
      <c r="E23">
        <v>0.41</v>
      </c>
      <c r="F23">
        <v>0.46</v>
      </c>
      <c r="G23">
        <v>0.51</v>
      </c>
      <c r="H23">
        <v>0.51</v>
      </c>
      <c r="I23">
        <v>0.42</v>
      </c>
      <c r="J23" t="s">
        <v>5</v>
      </c>
      <c r="K23">
        <f>/=</f>
        <v>0</v>
      </c>
      <c r="L23" t="s">
        <v>58</v>
      </c>
      <c r="M23" t="s">
        <v>58</v>
      </c>
    </row>
    <row r="24" spans="1:13">
      <c r="A24" t="s">
        <v>17</v>
      </c>
      <c r="B24" t="s">
        <v>40</v>
      </c>
      <c r="C24" t="s">
        <v>51</v>
      </c>
      <c r="D24">
        <v>0.5</v>
      </c>
      <c r="E24">
        <v>0.5</v>
      </c>
      <c r="F24">
        <v>0.45</v>
      </c>
      <c r="G24">
        <v>0.38</v>
      </c>
      <c r="H24">
        <v>0.36</v>
      </c>
      <c r="I24">
        <v>0.52</v>
      </c>
      <c r="J24" t="s">
        <v>5</v>
      </c>
      <c r="K24">
        <f>/+</f>
        <v>0</v>
      </c>
      <c r="L24">
        <f>/=</f>
        <v>0</v>
      </c>
      <c r="M24" t="s">
        <v>58</v>
      </c>
    </row>
    <row r="25" spans="1:13">
      <c r="A25" t="s">
        <v>17</v>
      </c>
      <c r="B25" t="s">
        <v>41</v>
      </c>
      <c r="C25" t="s">
        <v>47</v>
      </c>
      <c r="D25">
        <v>-1</v>
      </c>
      <c r="E25">
        <v>-1</v>
      </c>
      <c r="F25">
        <v>12</v>
      </c>
      <c r="G25">
        <v>-5</v>
      </c>
      <c r="H25">
        <v>-4</v>
      </c>
      <c r="I25">
        <v>-2</v>
      </c>
      <c r="J25" t="s">
        <v>7</v>
      </c>
    </row>
    <row r="26" spans="1:13">
      <c r="A26" t="s">
        <v>17</v>
      </c>
      <c r="B26" t="s">
        <v>42</v>
      </c>
      <c r="C26" t="s">
        <v>51</v>
      </c>
      <c r="D26">
        <v>0.044</v>
      </c>
      <c r="E26">
        <v>0.051</v>
      </c>
      <c r="F26">
        <v>0.044</v>
      </c>
      <c r="G26">
        <v>0.037</v>
      </c>
      <c r="H26">
        <v>0.039</v>
      </c>
      <c r="I26">
        <v>0.047</v>
      </c>
      <c r="J26" t="s">
        <v>5</v>
      </c>
      <c r="K26" t="s">
        <v>59</v>
      </c>
      <c r="L26">
        <f>/=</f>
        <v>0</v>
      </c>
      <c r="M26">
        <f>/=</f>
        <v>0</v>
      </c>
    </row>
    <row r="27" spans="1:13">
      <c r="A27" t="s">
        <v>17</v>
      </c>
      <c r="B27" t="s">
        <v>43</v>
      </c>
      <c r="C27" t="s">
        <v>51</v>
      </c>
      <c r="D27">
        <v>0.036</v>
      </c>
      <c r="E27">
        <v>0.031</v>
      </c>
      <c r="F27">
        <v>0.024</v>
      </c>
      <c r="G27">
        <v>0.031</v>
      </c>
      <c r="H27">
        <v>0.031</v>
      </c>
      <c r="I27">
        <v>0.03</v>
      </c>
      <c r="J27" t="s">
        <v>54</v>
      </c>
      <c r="K27">
        <f>/=</f>
        <v>0</v>
      </c>
      <c r="L27">
        <f>/=</f>
        <v>0</v>
      </c>
      <c r="M27">
        <f>/−</f>
        <v>0</v>
      </c>
    </row>
    <row r="28" spans="1:13">
      <c r="A28" t="s">
        <v>17</v>
      </c>
      <c r="B28" t="s">
        <v>44</v>
      </c>
      <c r="C28" t="s">
        <v>51</v>
      </c>
      <c r="D28">
        <v>0.35</v>
      </c>
      <c r="E28">
        <v>0.36</v>
      </c>
      <c r="F28">
        <v>0.31</v>
      </c>
      <c r="G28">
        <v>0.3</v>
      </c>
      <c r="H28">
        <v>0.32</v>
      </c>
      <c r="I28">
        <v>0.36</v>
      </c>
      <c r="J28" t="s">
        <v>7</v>
      </c>
      <c r="K28">
        <f>/=</f>
        <v>0</v>
      </c>
      <c r="L28" t="s">
        <v>59</v>
      </c>
      <c r="M28">
        <f>/=</f>
        <v>0</v>
      </c>
    </row>
    <row r="29" spans="1:13">
      <c r="A29" t="s">
        <v>17</v>
      </c>
      <c r="B29" t="s">
        <v>45</v>
      </c>
      <c r="C29" t="s">
        <v>51</v>
      </c>
      <c r="D29">
        <v>0.31</v>
      </c>
      <c r="E29">
        <v>0.28</v>
      </c>
      <c r="F29">
        <v>0.24</v>
      </c>
      <c r="G29">
        <v>0.26</v>
      </c>
      <c r="H29">
        <v>0.29</v>
      </c>
      <c r="I29">
        <v>0.28</v>
      </c>
      <c r="J29" t="s">
        <v>7</v>
      </c>
      <c r="K29">
        <f>/=</f>
        <v>0</v>
      </c>
      <c r="L29">
        <f>/=</f>
        <v>0</v>
      </c>
      <c r="M29">
        <f>/=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</row>
    <row r="2" spans="1:27">
      <c r="A2" t="s">
        <v>13</v>
      </c>
      <c r="B2" t="s">
        <v>18</v>
      </c>
      <c r="C2" t="s">
        <v>46</v>
      </c>
      <c r="D2">
        <v>36</v>
      </c>
      <c r="E2">
        <v>36</v>
      </c>
      <c r="F2">
        <v>34</v>
      </c>
      <c r="G2">
        <v>36</v>
      </c>
      <c r="H2">
        <v>34</v>
      </c>
      <c r="I2">
        <v>36</v>
      </c>
      <c r="J2" t="s">
        <v>6</v>
      </c>
      <c r="K2">
        <f>/=</f>
        <v>0</v>
      </c>
      <c r="L2">
        <v>34</v>
      </c>
      <c r="M2">
        <v>36</v>
      </c>
      <c r="N2">
        <v>34</v>
      </c>
      <c r="O2">
        <v>36</v>
      </c>
      <c r="P2">
        <v>35</v>
      </c>
      <c r="Q2">
        <v>36</v>
      </c>
      <c r="R2" t="s">
        <v>5</v>
      </c>
      <c r="S2">
        <f>/=</f>
        <v>0</v>
      </c>
      <c r="T2">
        <v>34</v>
      </c>
      <c r="U2">
        <v>36</v>
      </c>
      <c r="V2">
        <v>36</v>
      </c>
      <c r="W2">
        <v>36</v>
      </c>
      <c r="X2">
        <v>34</v>
      </c>
      <c r="Y2">
        <v>36</v>
      </c>
      <c r="Z2" t="s">
        <v>7</v>
      </c>
      <c r="AA2">
        <f>/=</f>
        <v>0</v>
      </c>
    </row>
    <row r="3" spans="1:27">
      <c r="A3" t="s">
        <v>13</v>
      </c>
      <c r="B3" t="s">
        <v>19</v>
      </c>
      <c r="C3" t="s">
        <v>46</v>
      </c>
      <c r="D3">
        <v>32</v>
      </c>
      <c r="E3">
        <v>30</v>
      </c>
      <c r="F3">
        <v>28</v>
      </c>
      <c r="G3">
        <v>32</v>
      </c>
      <c r="H3">
        <v>29</v>
      </c>
      <c r="I3">
        <v>30</v>
      </c>
      <c r="J3" t="s">
        <v>6</v>
      </c>
      <c r="K3" t="s">
        <v>56</v>
      </c>
      <c r="L3">
        <v>31</v>
      </c>
      <c r="M3">
        <v>30</v>
      </c>
      <c r="N3">
        <v>28</v>
      </c>
      <c r="O3">
        <v>33</v>
      </c>
      <c r="P3">
        <v>31</v>
      </c>
      <c r="Q3">
        <v>30</v>
      </c>
      <c r="R3" t="s">
        <v>7</v>
      </c>
      <c r="S3">
        <f>/=</f>
        <v>0</v>
      </c>
      <c r="T3">
        <v>32</v>
      </c>
      <c r="U3">
        <v>29</v>
      </c>
      <c r="V3">
        <v>28</v>
      </c>
      <c r="W3">
        <v>33</v>
      </c>
      <c r="X3">
        <v>31</v>
      </c>
      <c r="Y3">
        <v>29</v>
      </c>
      <c r="Z3" t="s">
        <v>54</v>
      </c>
      <c r="AA3">
        <f>/=</f>
        <v>0</v>
      </c>
    </row>
    <row r="4" spans="1:27">
      <c r="A4" t="s">
        <v>13</v>
      </c>
      <c r="B4" t="s">
        <v>20</v>
      </c>
      <c r="C4" t="s">
        <v>46</v>
      </c>
      <c r="D4">
        <v>19</v>
      </c>
      <c r="E4">
        <v>19</v>
      </c>
      <c r="F4">
        <v>19</v>
      </c>
      <c r="G4">
        <v>17</v>
      </c>
      <c r="H4">
        <v>21</v>
      </c>
      <c r="I4">
        <v>18</v>
      </c>
      <c r="J4" t="s">
        <v>5</v>
      </c>
      <c r="K4">
        <f>/=</f>
        <v>0</v>
      </c>
      <c r="L4">
        <v>19</v>
      </c>
      <c r="M4">
        <v>20</v>
      </c>
      <c r="N4">
        <v>20</v>
      </c>
      <c r="O4">
        <v>17</v>
      </c>
      <c r="P4">
        <v>20</v>
      </c>
      <c r="Q4">
        <v>20</v>
      </c>
      <c r="R4" t="s">
        <v>85</v>
      </c>
      <c r="S4">
        <f>/=</f>
        <v>0</v>
      </c>
      <c r="T4">
        <v>18</v>
      </c>
      <c r="U4">
        <v>20</v>
      </c>
      <c r="V4">
        <v>18</v>
      </c>
      <c r="W4">
        <v>17</v>
      </c>
      <c r="X4">
        <v>20</v>
      </c>
      <c r="Y4">
        <v>20</v>
      </c>
      <c r="Z4" t="s">
        <v>5</v>
      </c>
      <c r="AA4">
        <f>/+</f>
        <v>0</v>
      </c>
    </row>
    <row r="5" spans="1:27">
      <c r="A5" t="s">
        <v>13</v>
      </c>
      <c r="B5" t="s">
        <v>21</v>
      </c>
      <c r="C5" t="s">
        <v>46</v>
      </c>
      <c r="D5">
        <v>10</v>
      </c>
      <c r="E5">
        <v>11</v>
      </c>
      <c r="F5">
        <v>13</v>
      </c>
      <c r="G5">
        <v>11</v>
      </c>
      <c r="H5">
        <v>11</v>
      </c>
      <c r="I5">
        <v>12</v>
      </c>
      <c r="J5" t="s">
        <v>54</v>
      </c>
      <c r="K5">
        <f>/=</f>
        <v>0</v>
      </c>
      <c r="L5">
        <v>10</v>
      </c>
      <c r="M5">
        <v>10</v>
      </c>
      <c r="N5">
        <v>10</v>
      </c>
      <c r="O5">
        <v>8</v>
      </c>
      <c r="P5">
        <v>10</v>
      </c>
      <c r="Q5">
        <v>10</v>
      </c>
      <c r="R5" t="s">
        <v>85</v>
      </c>
      <c r="S5">
        <f>/=</f>
        <v>0</v>
      </c>
      <c r="T5">
        <v>10</v>
      </c>
      <c r="U5">
        <v>11</v>
      </c>
      <c r="V5">
        <v>13</v>
      </c>
      <c r="W5">
        <v>10</v>
      </c>
      <c r="X5">
        <v>11</v>
      </c>
      <c r="Y5">
        <v>12</v>
      </c>
      <c r="Z5" t="s">
        <v>6</v>
      </c>
      <c r="AA5">
        <f>/=</f>
        <v>0</v>
      </c>
    </row>
    <row r="6" spans="1:27">
      <c r="A6" t="s">
        <v>13</v>
      </c>
      <c r="B6" t="s">
        <v>22</v>
      </c>
      <c r="C6" t="s">
        <v>47</v>
      </c>
      <c r="D6">
        <v>125</v>
      </c>
      <c r="E6">
        <v>125</v>
      </c>
      <c r="F6">
        <v>126</v>
      </c>
      <c r="G6">
        <v>125</v>
      </c>
      <c r="H6">
        <v>125</v>
      </c>
      <c r="I6">
        <v>125</v>
      </c>
      <c r="J6" t="s">
        <v>54</v>
      </c>
      <c r="K6">
        <f>/=</f>
        <v>0</v>
      </c>
      <c r="L6">
        <v>125</v>
      </c>
      <c r="M6">
        <v>124</v>
      </c>
      <c r="N6">
        <v>125</v>
      </c>
      <c r="O6">
        <v>124</v>
      </c>
      <c r="P6">
        <v>125</v>
      </c>
      <c r="Q6">
        <v>124</v>
      </c>
      <c r="R6" t="s">
        <v>85</v>
      </c>
      <c r="S6">
        <f>/=</f>
        <v>0</v>
      </c>
      <c r="T6">
        <v>124</v>
      </c>
      <c r="U6">
        <v>124</v>
      </c>
      <c r="V6">
        <v>124</v>
      </c>
      <c r="W6">
        <v>124</v>
      </c>
      <c r="X6">
        <v>124</v>
      </c>
      <c r="Y6">
        <v>124</v>
      </c>
      <c r="Z6" t="s">
        <v>84</v>
      </c>
      <c r="AA6">
        <f>/=</f>
        <v>0</v>
      </c>
    </row>
    <row r="7" spans="1:27">
      <c r="A7" t="s">
        <v>13</v>
      </c>
      <c r="B7" t="s">
        <v>23</v>
      </c>
      <c r="C7" t="s">
        <v>47</v>
      </c>
      <c r="D7">
        <v>56</v>
      </c>
      <c r="E7">
        <v>57</v>
      </c>
      <c r="F7">
        <v>56</v>
      </c>
      <c r="G7">
        <v>56</v>
      </c>
      <c r="H7">
        <v>56</v>
      </c>
      <c r="I7">
        <v>57</v>
      </c>
      <c r="J7" t="s">
        <v>84</v>
      </c>
      <c r="K7">
        <f>/=</f>
        <v>0</v>
      </c>
      <c r="L7">
        <v>57</v>
      </c>
      <c r="M7">
        <v>57</v>
      </c>
      <c r="N7">
        <v>56</v>
      </c>
      <c r="O7">
        <v>57</v>
      </c>
      <c r="P7">
        <v>57</v>
      </c>
      <c r="Q7">
        <v>57</v>
      </c>
      <c r="R7" t="s">
        <v>54</v>
      </c>
      <c r="S7">
        <f>/=</f>
        <v>0</v>
      </c>
      <c r="T7">
        <v>56</v>
      </c>
      <c r="U7">
        <v>56</v>
      </c>
      <c r="V7">
        <v>56</v>
      </c>
      <c r="W7">
        <v>56</v>
      </c>
      <c r="X7">
        <v>57</v>
      </c>
      <c r="Y7">
        <v>56</v>
      </c>
      <c r="Z7" t="s">
        <v>55</v>
      </c>
      <c r="AA7">
        <f>/=</f>
        <v>0</v>
      </c>
    </row>
    <row r="8" spans="1:27">
      <c r="A8" t="s">
        <v>13</v>
      </c>
      <c r="B8" t="s">
        <v>24</v>
      </c>
      <c r="C8" t="s">
        <v>47</v>
      </c>
      <c r="D8">
        <v>10.1</v>
      </c>
      <c r="E8">
        <v>10.3</v>
      </c>
      <c r="F8">
        <v>11.6</v>
      </c>
      <c r="G8">
        <v>10.8</v>
      </c>
      <c r="H8">
        <v>10.8</v>
      </c>
      <c r="I8">
        <v>10.3</v>
      </c>
      <c r="J8" t="s">
        <v>54</v>
      </c>
      <c r="K8" t="s">
        <v>57</v>
      </c>
      <c r="L8">
        <v>11</v>
      </c>
      <c r="M8">
        <v>10.9</v>
      </c>
      <c r="N8">
        <v>12</v>
      </c>
      <c r="O8">
        <v>11.1</v>
      </c>
      <c r="P8">
        <v>10.8</v>
      </c>
      <c r="Q8">
        <v>10.9</v>
      </c>
      <c r="R8" t="s">
        <v>6</v>
      </c>
      <c r="S8">
        <f>/=</f>
        <v>0</v>
      </c>
      <c r="T8">
        <v>10.9</v>
      </c>
      <c r="U8">
        <v>11.2</v>
      </c>
      <c r="V8">
        <v>12.2</v>
      </c>
      <c r="W8">
        <v>11.4</v>
      </c>
      <c r="X8">
        <v>11</v>
      </c>
      <c r="Y8">
        <v>11.3</v>
      </c>
      <c r="Z8" t="s">
        <v>7</v>
      </c>
      <c r="AA8">
        <f>/=</f>
        <v>0</v>
      </c>
    </row>
    <row r="9" spans="1:27">
      <c r="A9" t="s">
        <v>13</v>
      </c>
      <c r="B9" t="s">
        <v>25</v>
      </c>
      <c r="C9" t="s">
        <v>47</v>
      </c>
      <c r="D9">
        <v>9.300000000000001</v>
      </c>
      <c r="E9">
        <v>9.300000000000001</v>
      </c>
      <c r="F9">
        <v>10</v>
      </c>
      <c r="G9">
        <v>9.800000000000001</v>
      </c>
      <c r="H9">
        <v>9.699999999999999</v>
      </c>
      <c r="I9">
        <v>9.4</v>
      </c>
      <c r="J9" t="s">
        <v>7</v>
      </c>
      <c r="K9">
        <f>/=</f>
        <v>0</v>
      </c>
      <c r="L9">
        <v>9.800000000000001</v>
      </c>
      <c r="M9">
        <v>9.800000000000001</v>
      </c>
      <c r="N9">
        <v>10.4</v>
      </c>
      <c r="O9">
        <v>10.5</v>
      </c>
      <c r="P9">
        <v>9.699999999999999</v>
      </c>
      <c r="Q9">
        <v>9.800000000000001</v>
      </c>
      <c r="R9" t="s">
        <v>7</v>
      </c>
      <c r="S9" t="s">
        <v>57</v>
      </c>
      <c r="T9">
        <v>10.3</v>
      </c>
      <c r="U9">
        <v>9.4</v>
      </c>
      <c r="V9">
        <v>10.6</v>
      </c>
      <c r="W9">
        <v>10.1</v>
      </c>
      <c r="X9">
        <v>9.6</v>
      </c>
      <c r="Y9">
        <v>9.300000000000001</v>
      </c>
      <c r="Z9" t="s">
        <v>6</v>
      </c>
      <c r="AA9" t="s">
        <v>56</v>
      </c>
    </row>
    <row r="10" spans="1:27">
      <c r="A10" t="s">
        <v>14</v>
      </c>
      <c r="B10" t="s">
        <v>26</v>
      </c>
      <c r="C10" t="s">
        <v>48</v>
      </c>
      <c r="D10">
        <v>5.8</v>
      </c>
      <c r="E10">
        <v>6</v>
      </c>
      <c r="F10">
        <v>5.5</v>
      </c>
      <c r="G10">
        <v>4.6</v>
      </c>
      <c r="H10">
        <v>5.2</v>
      </c>
      <c r="I10">
        <v>6</v>
      </c>
      <c r="J10" t="s">
        <v>5</v>
      </c>
      <c r="K10" t="s">
        <v>58</v>
      </c>
      <c r="L10">
        <v>5.7</v>
      </c>
      <c r="M10">
        <v>6</v>
      </c>
      <c r="N10">
        <v>5.5</v>
      </c>
      <c r="O10">
        <v>4.5</v>
      </c>
      <c r="P10">
        <v>5.2</v>
      </c>
      <c r="Q10">
        <v>6</v>
      </c>
      <c r="R10" t="s">
        <v>5</v>
      </c>
      <c r="S10" t="s">
        <v>58</v>
      </c>
      <c r="T10">
        <v>5.7</v>
      </c>
      <c r="U10">
        <v>5.8</v>
      </c>
      <c r="V10">
        <v>5.1</v>
      </c>
      <c r="W10">
        <v>4.6</v>
      </c>
      <c r="X10">
        <v>5.2</v>
      </c>
      <c r="Y10">
        <v>5.9</v>
      </c>
      <c r="Z10" t="s">
        <v>7</v>
      </c>
      <c r="AA10" t="s">
        <v>59</v>
      </c>
    </row>
    <row r="11" spans="1:27">
      <c r="A11" t="s">
        <v>14</v>
      </c>
      <c r="B11" t="s">
        <v>27</v>
      </c>
      <c r="C11" t="s">
        <v>48</v>
      </c>
      <c r="D11">
        <v>13.9</v>
      </c>
      <c r="E11">
        <v>12.9</v>
      </c>
      <c r="F11">
        <v>11.8</v>
      </c>
      <c r="G11">
        <v>11.2</v>
      </c>
      <c r="H11">
        <v>10.2</v>
      </c>
      <c r="I11">
        <v>12.9</v>
      </c>
      <c r="J11" t="s">
        <v>5</v>
      </c>
      <c r="K11" t="s">
        <v>58</v>
      </c>
      <c r="L11">
        <v>12.4</v>
      </c>
      <c r="M11">
        <v>12.8</v>
      </c>
      <c r="N11">
        <v>12.1</v>
      </c>
      <c r="O11">
        <v>11.1</v>
      </c>
      <c r="P11">
        <v>10.4</v>
      </c>
      <c r="Q11">
        <v>12.8</v>
      </c>
      <c r="R11" t="s">
        <v>5</v>
      </c>
      <c r="S11" t="s">
        <v>58</v>
      </c>
      <c r="T11">
        <v>12.4</v>
      </c>
      <c r="U11">
        <v>12.4</v>
      </c>
      <c r="V11">
        <v>11.4</v>
      </c>
      <c r="W11">
        <v>11.3</v>
      </c>
      <c r="X11">
        <v>10.3</v>
      </c>
      <c r="Y11">
        <v>12.6</v>
      </c>
      <c r="Z11" t="s">
        <v>5</v>
      </c>
      <c r="AA11">
        <f>/+</f>
        <v>0</v>
      </c>
    </row>
    <row r="12" spans="1:27">
      <c r="A12" t="s">
        <v>15</v>
      </c>
      <c r="B12" t="s">
        <v>28</v>
      </c>
      <c r="C12" t="s">
        <v>49</v>
      </c>
      <c r="D12">
        <v>3.75</v>
      </c>
      <c r="E12">
        <v>3.5</v>
      </c>
      <c r="F12">
        <v>3.5</v>
      </c>
      <c r="G12">
        <v>3.75</v>
      </c>
      <c r="H12">
        <v>3.75</v>
      </c>
      <c r="I12">
        <v>3.38</v>
      </c>
      <c r="J12" t="s">
        <v>54</v>
      </c>
      <c r="K12">
        <f>/=</f>
        <v>0</v>
      </c>
      <c r="L12">
        <v>3.93</v>
      </c>
      <c r="M12">
        <v>3.55</v>
      </c>
      <c r="N12">
        <v>3.5</v>
      </c>
      <c r="O12">
        <v>3.75</v>
      </c>
      <c r="P12">
        <v>3.75</v>
      </c>
      <c r="Q12">
        <v>3.55</v>
      </c>
      <c r="R12" t="s">
        <v>54</v>
      </c>
      <c r="S12">
        <f>/=</f>
        <v>0</v>
      </c>
      <c r="T12">
        <v>3.93</v>
      </c>
      <c r="U12">
        <v>3.74</v>
      </c>
      <c r="V12">
        <v>3.5</v>
      </c>
      <c r="W12">
        <v>3.5</v>
      </c>
      <c r="X12">
        <v>3.5</v>
      </c>
      <c r="Y12">
        <v>3.53</v>
      </c>
      <c r="Z12" t="s">
        <v>84</v>
      </c>
      <c r="AA12">
        <f>/=</f>
        <v>0</v>
      </c>
    </row>
    <row r="13" spans="1:27">
      <c r="A13" t="s">
        <v>15</v>
      </c>
      <c r="B13" t="s">
        <v>29</v>
      </c>
      <c r="C13" t="s">
        <v>50</v>
      </c>
      <c r="D13">
        <v>0.269</v>
      </c>
      <c r="E13">
        <v>0.263</v>
      </c>
      <c r="F13">
        <v>0.214</v>
      </c>
      <c r="G13">
        <v>0.21</v>
      </c>
      <c r="H13">
        <v>0.215</v>
      </c>
      <c r="I13">
        <v>0.242</v>
      </c>
      <c r="J13" t="s">
        <v>7</v>
      </c>
      <c r="K13" t="s">
        <v>58</v>
      </c>
      <c r="L13">
        <v>0.265</v>
      </c>
      <c r="M13">
        <v>0.258</v>
      </c>
      <c r="N13">
        <v>0.223</v>
      </c>
      <c r="O13">
        <v>0.207</v>
      </c>
      <c r="P13">
        <v>0.217</v>
      </c>
      <c r="Q13">
        <v>0.258</v>
      </c>
      <c r="R13" t="s">
        <v>5</v>
      </c>
      <c r="S13" t="s">
        <v>58</v>
      </c>
      <c r="T13">
        <v>0.265</v>
      </c>
      <c r="U13">
        <v>0.252</v>
      </c>
      <c r="V13">
        <v>0.206</v>
      </c>
      <c r="W13">
        <v>0.202</v>
      </c>
      <c r="X13">
        <v>0.204</v>
      </c>
      <c r="Y13">
        <v>0.244</v>
      </c>
      <c r="Z13" t="s">
        <v>5</v>
      </c>
      <c r="AA13">
        <f>/=</f>
        <v>0</v>
      </c>
    </row>
    <row r="14" spans="1:27">
      <c r="A14" t="s">
        <v>15</v>
      </c>
      <c r="B14" t="s">
        <v>30</v>
      </c>
      <c r="C14" t="s">
        <v>48</v>
      </c>
      <c r="D14">
        <v>3.1</v>
      </c>
      <c r="E14">
        <v>3</v>
      </c>
      <c r="F14">
        <v>4.1</v>
      </c>
      <c r="G14">
        <v>2.5</v>
      </c>
      <c r="H14">
        <v>2.4</v>
      </c>
      <c r="I14">
        <v>3.1</v>
      </c>
      <c r="J14" t="s">
        <v>6</v>
      </c>
      <c r="K14">
        <f>/=</f>
        <v>0</v>
      </c>
      <c r="L14">
        <v>3</v>
      </c>
      <c r="M14">
        <v>3.2</v>
      </c>
      <c r="N14">
        <v>4.1</v>
      </c>
      <c r="O14">
        <v>2.5</v>
      </c>
      <c r="P14">
        <v>2.4</v>
      </c>
      <c r="Q14">
        <v>3.2</v>
      </c>
      <c r="R14" t="s">
        <v>6</v>
      </c>
      <c r="S14">
        <f>/=</f>
        <v>0</v>
      </c>
      <c r="T14">
        <v>3</v>
      </c>
      <c r="U14">
        <v>3.1</v>
      </c>
      <c r="V14">
        <v>4</v>
      </c>
      <c r="W14">
        <v>2.6</v>
      </c>
      <c r="X14">
        <v>2.4</v>
      </c>
      <c r="Y14">
        <v>3.1</v>
      </c>
      <c r="Z14" t="s">
        <v>6</v>
      </c>
      <c r="AA14">
        <f>/=</f>
        <v>0</v>
      </c>
    </row>
    <row r="15" spans="1:27">
      <c r="A15" t="s">
        <v>16</v>
      </c>
      <c r="B15" t="s">
        <v>31</v>
      </c>
      <c r="C15" t="s">
        <v>49</v>
      </c>
      <c r="D15">
        <v>0.5</v>
      </c>
      <c r="E15">
        <v>0.38</v>
      </c>
      <c r="F15">
        <v>0.75</v>
      </c>
      <c r="G15">
        <v>1.19</v>
      </c>
      <c r="H15">
        <v>1.5</v>
      </c>
      <c r="I15">
        <v>0.26</v>
      </c>
      <c r="J15" t="s">
        <v>5</v>
      </c>
      <c r="K15" t="s">
        <v>58</v>
      </c>
      <c r="L15">
        <v>0.41</v>
      </c>
      <c r="M15">
        <v>0.38</v>
      </c>
      <c r="N15">
        <v>0.75</v>
      </c>
      <c r="O15">
        <v>1.25</v>
      </c>
      <c r="P15">
        <v>1.5</v>
      </c>
      <c r="Q15">
        <v>0.38</v>
      </c>
      <c r="R15" t="s">
        <v>5</v>
      </c>
      <c r="S15" t="s">
        <v>58</v>
      </c>
      <c r="T15">
        <v>0.41</v>
      </c>
      <c r="U15">
        <v>0.38</v>
      </c>
      <c r="V15">
        <v>0.65</v>
      </c>
      <c r="W15">
        <v>1.12</v>
      </c>
      <c r="X15">
        <v>1.25</v>
      </c>
      <c r="Y15">
        <v>0.25</v>
      </c>
      <c r="Z15" t="s">
        <v>5</v>
      </c>
      <c r="AA15" t="s">
        <v>58</v>
      </c>
    </row>
    <row r="16" spans="1:27">
      <c r="A16" t="s">
        <v>16</v>
      </c>
      <c r="B16" t="s">
        <v>32</v>
      </c>
      <c r="C16" t="s">
        <v>51</v>
      </c>
      <c r="D16">
        <v>0.73</v>
      </c>
      <c r="E16">
        <v>0.68</v>
      </c>
      <c r="F16">
        <v>0.9</v>
      </c>
      <c r="G16">
        <v>1.32</v>
      </c>
      <c r="H16">
        <v>1.43</v>
      </c>
      <c r="I16">
        <v>0.61</v>
      </c>
      <c r="J16" t="s">
        <v>5</v>
      </c>
      <c r="K16" t="s">
        <v>58</v>
      </c>
      <c r="L16">
        <v>0.68</v>
      </c>
      <c r="M16">
        <v>0.58</v>
      </c>
      <c r="N16">
        <v>1</v>
      </c>
      <c r="O16">
        <v>1.29</v>
      </c>
      <c r="P16">
        <v>1.46</v>
      </c>
      <c r="Q16">
        <v>0.58</v>
      </c>
      <c r="R16" t="s">
        <v>5</v>
      </c>
      <c r="S16" t="s">
        <v>58</v>
      </c>
      <c r="T16">
        <v>0.68</v>
      </c>
      <c r="U16">
        <v>0.57</v>
      </c>
      <c r="V16">
        <v>0.87</v>
      </c>
      <c r="W16">
        <v>1.27</v>
      </c>
      <c r="X16">
        <v>1.36</v>
      </c>
      <c r="Y16">
        <v>0.53</v>
      </c>
      <c r="Z16" t="s">
        <v>5</v>
      </c>
      <c r="AA16" t="s">
        <v>58</v>
      </c>
    </row>
    <row r="17" spans="1:27">
      <c r="A17" t="s">
        <v>16</v>
      </c>
      <c r="B17" t="s">
        <v>33</v>
      </c>
      <c r="C17" t="s">
        <v>51</v>
      </c>
      <c r="D17">
        <v>0.09</v>
      </c>
      <c r="E17">
        <v>0.1</v>
      </c>
      <c r="F17">
        <v>0.09</v>
      </c>
      <c r="G17">
        <v>0.12</v>
      </c>
      <c r="H17">
        <v>0.13</v>
      </c>
      <c r="I17">
        <v>0.09</v>
      </c>
      <c r="J17" t="s">
        <v>5</v>
      </c>
      <c r="K17">
        <f>/=</f>
        <v>0</v>
      </c>
      <c r="L17">
        <v>0.09</v>
      </c>
      <c r="M17">
        <v>0.08</v>
      </c>
      <c r="N17">
        <v>0.09</v>
      </c>
      <c r="O17">
        <v>0.12</v>
      </c>
      <c r="P17">
        <v>0.12</v>
      </c>
      <c r="Q17">
        <v>0.08</v>
      </c>
      <c r="R17" t="s">
        <v>5</v>
      </c>
      <c r="S17">
        <f>/=</f>
        <v>0</v>
      </c>
      <c r="T17">
        <v>0.09</v>
      </c>
      <c r="U17">
        <v>0.08</v>
      </c>
      <c r="V17">
        <v>0.08</v>
      </c>
      <c r="W17">
        <v>0.11</v>
      </c>
      <c r="X17">
        <v>0.13</v>
      </c>
      <c r="Y17">
        <v>0.07000000000000001</v>
      </c>
      <c r="Z17" t="s">
        <v>5</v>
      </c>
      <c r="AA17">
        <f>/=</f>
        <v>0</v>
      </c>
    </row>
    <row r="18" spans="1:27">
      <c r="A18" t="s">
        <v>16</v>
      </c>
      <c r="B18" t="s">
        <v>34</v>
      </c>
      <c r="C18" t="s">
        <v>51</v>
      </c>
      <c r="D18">
        <v>0.08</v>
      </c>
      <c r="E18">
        <v>0.07000000000000001</v>
      </c>
      <c r="F18">
        <v>0.11</v>
      </c>
      <c r="G18">
        <v>0.17</v>
      </c>
      <c r="H18">
        <v>0.19</v>
      </c>
      <c r="I18">
        <v>0.07000000000000001</v>
      </c>
      <c r="J18" t="s">
        <v>5</v>
      </c>
      <c r="K18" t="s">
        <v>58</v>
      </c>
      <c r="L18">
        <v>0.07000000000000001</v>
      </c>
      <c r="M18">
        <v>0.07000000000000001</v>
      </c>
      <c r="N18">
        <v>0.14</v>
      </c>
      <c r="O18">
        <v>0.17</v>
      </c>
      <c r="P18">
        <v>0.19</v>
      </c>
      <c r="Q18">
        <v>0.07000000000000001</v>
      </c>
      <c r="R18" t="s">
        <v>5</v>
      </c>
      <c r="S18" t="s">
        <v>58</v>
      </c>
      <c r="T18">
        <v>0.07000000000000001</v>
      </c>
      <c r="U18">
        <v>0.07000000000000001</v>
      </c>
      <c r="V18">
        <v>0.11</v>
      </c>
      <c r="W18">
        <v>0.17</v>
      </c>
      <c r="X18">
        <v>0.17</v>
      </c>
      <c r="Y18">
        <v>0.06</v>
      </c>
      <c r="Z18" t="s">
        <v>5</v>
      </c>
      <c r="AA18" t="s">
        <v>58</v>
      </c>
    </row>
    <row r="19" spans="1:27">
      <c r="A19" t="s">
        <v>16</v>
      </c>
      <c r="B19" t="s">
        <v>35</v>
      </c>
      <c r="C19" t="s">
        <v>51</v>
      </c>
      <c r="D19">
        <v>2.75</v>
      </c>
      <c r="E19">
        <v>2.56</v>
      </c>
      <c r="F19">
        <v>1.88</v>
      </c>
      <c r="G19">
        <v>1.68</v>
      </c>
      <c r="H19">
        <v>1.63</v>
      </c>
      <c r="I19">
        <v>2.55</v>
      </c>
      <c r="J19" t="s">
        <v>5</v>
      </c>
      <c r="K19" t="s">
        <v>58</v>
      </c>
      <c r="L19">
        <v>2.35</v>
      </c>
      <c r="M19">
        <v>2.48</v>
      </c>
      <c r="N19">
        <v>2.05</v>
      </c>
      <c r="O19">
        <v>1.63</v>
      </c>
      <c r="P19">
        <v>1.66</v>
      </c>
      <c r="Q19">
        <v>2.48</v>
      </c>
      <c r="R19" t="s">
        <v>5</v>
      </c>
      <c r="S19" t="s">
        <v>58</v>
      </c>
      <c r="T19">
        <v>2.35</v>
      </c>
      <c r="U19">
        <v>2.48</v>
      </c>
      <c r="V19">
        <v>1.82</v>
      </c>
      <c r="W19">
        <v>1.58</v>
      </c>
      <c r="X19">
        <v>1.55</v>
      </c>
      <c r="Y19">
        <v>2.34</v>
      </c>
      <c r="Z19" t="s">
        <v>5</v>
      </c>
      <c r="AA19" t="s">
        <v>58</v>
      </c>
    </row>
    <row r="20" spans="1:27">
      <c r="A20" t="s">
        <v>16</v>
      </c>
      <c r="B20" t="s">
        <v>36</v>
      </c>
      <c r="C20" t="s">
        <v>52</v>
      </c>
      <c r="D20">
        <v>0.45</v>
      </c>
      <c r="E20">
        <v>0.33</v>
      </c>
      <c r="F20">
        <v>0.03</v>
      </c>
      <c r="G20">
        <v>0.11</v>
      </c>
      <c r="H20">
        <v>0.1</v>
      </c>
      <c r="I20">
        <v>0.31</v>
      </c>
      <c r="J20" t="s">
        <v>6</v>
      </c>
      <c r="K20">
        <f>/=</f>
        <v>0</v>
      </c>
      <c r="L20">
        <v>0.24</v>
      </c>
      <c r="M20">
        <v>0.32</v>
      </c>
      <c r="N20">
        <v>0.05</v>
      </c>
      <c r="O20">
        <v>0.11</v>
      </c>
      <c r="P20">
        <v>0.09</v>
      </c>
      <c r="Q20">
        <v>0.32</v>
      </c>
      <c r="R20" t="s">
        <v>6</v>
      </c>
      <c r="S20" t="s">
        <v>58</v>
      </c>
      <c r="T20">
        <v>0.24</v>
      </c>
      <c r="U20">
        <v>0.29</v>
      </c>
      <c r="V20">
        <v>0.09</v>
      </c>
      <c r="W20">
        <v>0.13</v>
      </c>
      <c r="X20">
        <v>0.1</v>
      </c>
      <c r="Y20">
        <v>0.28</v>
      </c>
      <c r="Z20" t="s">
        <v>6</v>
      </c>
      <c r="AA20">
        <f>/=</f>
        <v>0</v>
      </c>
    </row>
    <row r="21" spans="1:27">
      <c r="A21" t="s">
        <v>16</v>
      </c>
      <c r="B21" t="s">
        <v>37</v>
      </c>
      <c r="C21" t="s">
        <v>53</v>
      </c>
      <c r="D21">
        <v>0.28</v>
      </c>
      <c r="E21">
        <v>0.26</v>
      </c>
      <c r="F21">
        <v>0.39</v>
      </c>
      <c r="G21">
        <v>0.42</v>
      </c>
      <c r="H21">
        <v>0.41</v>
      </c>
      <c r="I21">
        <v>0.26</v>
      </c>
      <c r="J21" t="s">
        <v>5</v>
      </c>
      <c r="K21" t="s">
        <v>58</v>
      </c>
      <c r="L21">
        <v>0.28</v>
      </c>
      <c r="M21">
        <v>0.27</v>
      </c>
      <c r="N21">
        <v>0.41</v>
      </c>
      <c r="O21">
        <v>0.42</v>
      </c>
      <c r="P21">
        <v>0.42</v>
      </c>
      <c r="Q21">
        <v>0.27</v>
      </c>
      <c r="R21" t="s">
        <v>5</v>
      </c>
      <c r="S21">
        <f>/=</f>
        <v>0</v>
      </c>
      <c r="T21">
        <v>0.28</v>
      </c>
      <c r="U21">
        <v>0.25</v>
      </c>
      <c r="V21">
        <v>0.4</v>
      </c>
      <c r="W21">
        <v>0.43</v>
      </c>
      <c r="X21">
        <v>0.4</v>
      </c>
      <c r="Y21">
        <v>0.26</v>
      </c>
      <c r="Z21" t="s">
        <v>85</v>
      </c>
      <c r="AA21" t="s">
        <v>59</v>
      </c>
    </row>
    <row r="22" spans="1:27">
      <c r="A22" t="s">
        <v>17</v>
      </c>
      <c r="B22" t="s">
        <v>38</v>
      </c>
      <c r="C22" t="s">
        <v>51</v>
      </c>
      <c r="D22">
        <v>0.26</v>
      </c>
      <c r="E22">
        <v>0.27</v>
      </c>
      <c r="F22">
        <v>0.36</v>
      </c>
      <c r="G22">
        <v>0.38</v>
      </c>
      <c r="H22">
        <v>0.41</v>
      </c>
      <c r="I22">
        <v>0.27</v>
      </c>
      <c r="J22" t="s">
        <v>5</v>
      </c>
      <c r="K22" t="s">
        <v>58</v>
      </c>
      <c r="L22">
        <v>0.31</v>
      </c>
      <c r="M22">
        <v>0.28</v>
      </c>
      <c r="N22">
        <v>0.35</v>
      </c>
      <c r="O22">
        <v>0.39</v>
      </c>
      <c r="P22">
        <v>0.39</v>
      </c>
      <c r="Q22">
        <v>0.28</v>
      </c>
      <c r="R22" t="s">
        <v>5</v>
      </c>
      <c r="S22" t="s">
        <v>58</v>
      </c>
      <c r="T22">
        <v>0.31</v>
      </c>
      <c r="U22">
        <v>0.29</v>
      </c>
      <c r="V22">
        <v>0.35</v>
      </c>
      <c r="W22">
        <v>0.4</v>
      </c>
      <c r="X22">
        <v>0.41</v>
      </c>
      <c r="Y22">
        <v>0.3</v>
      </c>
      <c r="Z22" t="s">
        <v>5</v>
      </c>
      <c r="AA22" t="s">
        <v>58</v>
      </c>
    </row>
    <row r="23" spans="1:27">
      <c r="A23" t="s">
        <v>17</v>
      </c>
      <c r="B23" t="s">
        <v>39</v>
      </c>
      <c r="C23" t="s">
        <v>51</v>
      </c>
      <c r="D23">
        <v>0.41</v>
      </c>
      <c r="E23">
        <v>0.41</v>
      </c>
      <c r="F23">
        <v>0.47</v>
      </c>
      <c r="G23">
        <v>0.49</v>
      </c>
      <c r="H23">
        <v>0.51</v>
      </c>
      <c r="I23">
        <v>0.43</v>
      </c>
      <c r="J23" t="s">
        <v>5</v>
      </c>
      <c r="K23">
        <f>/=</f>
        <v>0</v>
      </c>
      <c r="L23">
        <v>0.41</v>
      </c>
      <c r="M23">
        <v>0.41</v>
      </c>
      <c r="N23">
        <v>0.44</v>
      </c>
      <c r="O23">
        <v>0.5</v>
      </c>
      <c r="P23">
        <v>0.5</v>
      </c>
      <c r="Q23">
        <v>0.41</v>
      </c>
      <c r="R23" t="s">
        <v>5</v>
      </c>
      <c r="S23" t="s">
        <v>58</v>
      </c>
      <c r="T23">
        <v>0.41</v>
      </c>
      <c r="U23">
        <v>0.41</v>
      </c>
      <c r="V23">
        <v>0.49</v>
      </c>
      <c r="W23">
        <v>0.52</v>
      </c>
      <c r="X23">
        <v>0.52</v>
      </c>
      <c r="Y23">
        <v>0.44</v>
      </c>
      <c r="Z23" t="s">
        <v>5</v>
      </c>
      <c r="AA23" t="s">
        <v>58</v>
      </c>
    </row>
    <row r="24" spans="1:27">
      <c r="A24" t="s">
        <v>17</v>
      </c>
      <c r="B24" t="s">
        <v>40</v>
      </c>
      <c r="C24" t="s">
        <v>51</v>
      </c>
      <c r="D24">
        <v>0.51</v>
      </c>
      <c r="E24">
        <v>0.48</v>
      </c>
      <c r="F24">
        <v>0.41</v>
      </c>
      <c r="G24">
        <v>0.37</v>
      </c>
      <c r="H24">
        <v>0.34</v>
      </c>
      <c r="I24">
        <v>0.52</v>
      </c>
      <c r="J24" t="s">
        <v>5</v>
      </c>
      <c r="K24">
        <f>/+</f>
        <v>0</v>
      </c>
      <c r="L24">
        <v>0.5</v>
      </c>
      <c r="M24">
        <v>0.51</v>
      </c>
      <c r="N24">
        <v>0.39</v>
      </c>
      <c r="O24">
        <v>0.36</v>
      </c>
      <c r="P24">
        <v>0.35</v>
      </c>
      <c r="Q24">
        <v>0.51</v>
      </c>
      <c r="R24" t="s">
        <v>5</v>
      </c>
      <c r="S24">
        <f>/=</f>
        <v>0</v>
      </c>
      <c r="T24">
        <v>0.5</v>
      </c>
      <c r="U24">
        <v>0.5</v>
      </c>
      <c r="V24">
        <v>0.5</v>
      </c>
      <c r="W24">
        <v>0.4</v>
      </c>
      <c r="X24">
        <v>0.37</v>
      </c>
      <c r="Y24">
        <v>0.53</v>
      </c>
      <c r="Z24" t="s">
        <v>5</v>
      </c>
      <c r="AA24" t="s">
        <v>58</v>
      </c>
    </row>
    <row r="25" spans="1:27">
      <c r="A25" t="s">
        <v>17</v>
      </c>
      <c r="B25" t="s">
        <v>41</v>
      </c>
      <c r="C25" t="s">
        <v>47</v>
      </c>
      <c r="D25">
        <v>3</v>
      </c>
      <c r="E25">
        <v>2</v>
      </c>
      <c r="F25">
        <v>13</v>
      </c>
      <c r="G25">
        <v>-3</v>
      </c>
      <c r="H25">
        <v>-2</v>
      </c>
      <c r="I25">
        <v>1</v>
      </c>
      <c r="J25" t="s">
        <v>7</v>
      </c>
      <c r="L25">
        <v>-3</v>
      </c>
      <c r="M25">
        <v>-3</v>
      </c>
      <c r="N25">
        <v>12</v>
      </c>
      <c r="O25">
        <v>-3</v>
      </c>
      <c r="P25">
        <v>-3</v>
      </c>
      <c r="Q25">
        <v>-3</v>
      </c>
      <c r="R25" t="s">
        <v>54</v>
      </c>
      <c r="T25">
        <v>-3</v>
      </c>
      <c r="U25">
        <v>-1</v>
      </c>
      <c r="V25">
        <v>11</v>
      </c>
      <c r="W25">
        <v>-8</v>
      </c>
      <c r="X25">
        <v>-7</v>
      </c>
      <c r="Y25">
        <v>-2</v>
      </c>
      <c r="Z25" t="s">
        <v>7</v>
      </c>
    </row>
    <row r="26" spans="1:27">
      <c r="A26" t="s">
        <v>17</v>
      </c>
      <c r="B26" t="s">
        <v>42</v>
      </c>
      <c r="C26" t="s">
        <v>51</v>
      </c>
      <c r="D26">
        <v>0.059</v>
      </c>
      <c r="E26">
        <v>0.055</v>
      </c>
      <c r="F26">
        <v>0.038</v>
      </c>
      <c r="G26">
        <v>0.036</v>
      </c>
      <c r="H26">
        <v>0.039</v>
      </c>
      <c r="I26">
        <v>0.042</v>
      </c>
      <c r="J26" t="s">
        <v>7</v>
      </c>
      <c r="K26" t="s">
        <v>59</v>
      </c>
      <c r="L26">
        <v>0.043</v>
      </c>
      <c r="M26">
        <v>0.047</v>
      </c>
      <c r="N26">
        <v>0.045</v>
      </c>
      <c r="O26">
        <v>0.039</v>
      </c>
      <c r="P26">
        <v>0.04</v>
      </c>
      <c r="Q26">
        <v>0.047</v>
      </c>
      <c r="R26" t="s">
        <v>5</v>
      </c>
      <c r="S26">
        <f>/=</f>
        <v>0</v>
      </c>
      <c r="T26">
        <v>0.042</v>
      </c>
      <c r="U26">
        <v>0.056</v>
      </c>
      <c r="V26">
        <v>0.043</v>
      </c>
      <c r="W26">
        <v>0.033</v>
      </c>
      <c r="X26">
        <v>0.036</v>
      </c>
      <c r="Y26">
        <v>0.052</v>
      </c>
      <c r="Z26" t="s">
        <v>5</v>
      </c>
      <c r="AA26">
        <f>/=</f>
        <v>0</v>
      </c>
    </row>
    <row r="27" spans="1:27">
      <c r="A27" t="s">
        <v>17</v>
      </c>
      <c r="B27" t="s">
        <v>43</v>
      </c>
      <c r="C27" t="s">
        <v>51</v>
      </c>
      <c r="D27">
        <v>0.037</v>
      </c>
      <c r="E27">
        <v>0.033</v>
      </c>
      <c r="F27">
        <v>0.022</v>
      </c>
      <c r="G27">
        <v>0.031</v>
      </c>
      <c r="H27">
        <v>0.031</v>
      </c>
      <c r="I27">
        <v>0.031</v>
      </c>
      <c r="J27" t="s">
        <v>54</v>
      </c>
      <c r="K27">
        <f>/=</f>
        <v>0</v>
      </c>
      <c r="L27">
        <v>0.033</v>
      </c>
      <c r="M27">
        <v>0.03</v>
      </c>
      <c r="N27">
        <v>0.028</v>
      </c>
      <c r="O27">
        <v>0.03</v>
      </c>
      <c r="P27">
        <v>0.031</v>
      </c>
      <c r="Q27">
        <v>0.03</v>
      </c>
      <c r="R27" t="s">
        <v>7</v>
      </c>
      <c r="S27">
        <f>/=</f>
        <v>0</v>
      </c>
      <c r="T27">
        <v>0.031</v>
      </c>
      <c r="U27">
        <v>0.031</v>
      </c>
      <c r="V27">
        <v>0.021</v>
      </c>
      <c r="W27">
        <v>0.031</v>
      </c>
      <c r="X27">
        <v>0.03</v>
      </c>
      <c r="Y27">
        <v>0.031</v>
      </c>
      <c r="Z27" t="s">
        <v>6</v>
      </c>
      <c r="AA27">
        <f>/−</f>
        <v>0</v>
      </c>
    </row>
    <row r="28" spans="1:27">
      <c r="A28" t="s">
        <v>17</v>
      </c>
      <c r="B28" t="s">
        <v>44</v>
      </c>
      <c r="C28" t="s">
        <v>51</v>
      </c>
      <c r="D28">
        <v>0.43</v>
      </c>
      <c r="E28">
        <v>0.39</v>
      </c>
      <c r="F28">
        <v>0.31</v>
      </c>
      <c r="G28">
        <v>0.29</v>
      </c>
      <c r="H28">
        <v>0.32</v>
      </c>
      <c r="I28">
        <v>0.37</v>
      </c>
      <c r="J28" t="s">
        <v>7</v>
      </c>
      <c r="K28">
        <f>/=</f>
        <v>0</v>
      </c>
      <c r="L28">
        <v>0.32</v>
      </c>
      <c r="M28">
        <v>0.37</v>
      </c>
      <c r="N28">
        <v>0.29</v>
      </c>
      <c r="O28">
        <v>0.31</v>
      </c>
      <c r="P28">
        <v>0.32</v>
      </c>
      <c r="Q28">
        <v>0.37</v>
      </c>
      <c r="R28" t="s">
        <v>7</v>
      </c>
      <c r="S28" t="s">
        <v>59</v>
      </c>
      <c r="T28">
        <v>0.3</v>
      </c>
      <c r="U28">
        <v>0.35</v>
      </c>
      <c r="V28">
        <v>0.33</v>
      </c>
      <c r="W28">
        <v>0.28</v>
      </c>
      <c r="X28">
        <v>0.3</v>
      </c>
      <c r="Y28">
        <v>0.35</v>
      </c>
      <c r="Z28" t="s">
        <v>7</v>
      </c>
      <c r="AA28">
        <f>/=</f>
        <v>0</v>
      </c>
    </row>
    <row r="29" spans="1:27">
      <c r="A29" t="s">
        <v>17</v>
      </c>
      <c r="B29" t="s">
        <v>45</v>
      </c>
      <c r="C29" t="s">
        <v>51</v>
      </c>
      <c r="D29">
        <v>0.28</v>
      </c>
      <c r="E29">
        <v>0.28</v>
      </c>
      <c r="F29">
        <v>0.24</v>
      </c>
      <c r="G29">
        <v>0.26</v>
      </c>
      <c r="H29">
        <v>0.29</v>
      </c>
      <c r="I29">
        <v>0.28</v>
      </c>
      <c r="J29" t="s">
        <v>7</v>
      </c>
      <c r="K29">
        <f>/=</f>
        <v>0</v>
      </c>
      <c r="L29">
        <v>0.3</v>
      </c>
      <c r="M29">
        <v>0.28</v>
      </c>
      <c r="N29">
        <v>0.25</v>
      </c>
      <c r="O29">
        <v>0.26</v>
      </c>
      <c r="P29">
        <v>0.29</v>
      </c>
      <c r="Q29">
        <v>0.28</v>
      </c>
      <c r="R29" t="s">
        <v>7</v>
      </c>
      <c r="S29">
        <f>/=</f>
        <v>0</v>
      </c>
      <c r="T29">
        <v>0.33</v>
      </c>
      <c r="U29">
        <v>0.27</v>
      </c>
      <c r="V29">
        <v>0.21</v>
      </c>
      <c r="W29">
        <v>0.27</v>
      </c>
      <c r="X29">
        <v>0.29</v>
      </c>
      <c r="Y29">
        <v>0.27</v>
      </c>
      <c r="Z29" t="s">
        <v>7</v>
      </c>
      <c r="AA29">
        <f>/=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Pooled (main text)</vt:lpstr>
      <vt:lpstr>By test (supplement)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2026-10-01T07:28:40Z</dcterms:created>
  <dcterms:modified xsi:type="dcterms:W3CDTF">2026-10-01T07:28:40Z</dcterms:modified>
</cp:coreProperties>
</file>